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dani\Downloads\Compras Directas Muni MAzatenango\"/>
    </mc:Choice>
  </mc:AlternateContent>
  <xr:revisionPtr revIDLastSave="0" documentId="13_ncr:1_{6537C3AB-C42D-4351-8101-9188B5823951}" xr6:coauthVersionLast="47" xr6:coauthVersionMax="47" xr10:uidLastSave="{00000000-0000-0000-0000-000000000000}"/>
  <bookViews>
    <workbookView xWindow="-120" yWindow="-120" windowWidth="20730" windowHeight="11040" firstSheet="2" activeTab="5" xr2:uid="{E1CF549B-CB76-4484-A71B-09295621055E}"/>
  </bookViews>
  <sheets>
    <sheet name="Enero" sheetId="5" r:id="rId1"/>
    <sheet name="Febrero" sheetId="9" r:id="rId2"/>
    <sheet name="Marzo" sheetId="4" r:id="rId3"/>
    <sheet name="Abril" sheetId="6" r:id="rId4"/>
    <sheet name="Mayo" sheetId="7" r:id="rId5"/>
    <sheet name="Summary 2026" sheetId="1" r:id="rId6"/>
    <sheet name="Listados" sheetId="10" r:id="rId7"/>
  </sheets>
  <definedNames>
    <definedName name="ExternalData_1" localSheetId="3" hidden="1">Abril!$A$1:$K$2</definedName>
    <definedName name="ExternalData_1" localSheetId="0" hidden="1">Enero!$A$1:$K$4</definedName>
    <definedName name="ExternalData_1" localSheetId="1" hidden="1">Febrero!$A$1:$K$5</definedName>
    <definedName name="ExternalData_1" localSheetId="2" hidden="1">Marzo!$A$1:$K$4</definedName>
    <definedName name="ExternalData_1" localSheetId="4" hidden="1">Mayo!$A$1:$K$5</definedName>
    <definedName name="ExternalData_1" localSheetId="5" hidden="1">'Summary 2026'!$A$1:$L$16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  <c r="E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1FC06D-70FC-4FD3-B2DD-80FA39E7C8A8}" keepAlive="1" name="Query - Enero" description="Connection to the 'Enero' query in the workbook." type="5" refreshedVersion="0" background="1">
    <dbPr connection="Provider=Microsoft.Mashup.OleDb.1;Data Source=$Workbook$;Location=Enero;Extended Properties=&quot;&quot;" command="SELECT * FROM [Enero]"/>
  </connection>
  <connection id="2" xr16:uid="{75E2C38C-9998-4231-BB4D-26FAB674F72B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3" xr16:uid="{0E5D7E4A-953C-4DEE-86B4-7281EF5BCC9E}" keepAlive="1" name="Query - Table001 (Page 1) (2)" description="Connection to the 'Table001 (Page 1) (2)' query in the workbook." type="5" refreshedVersion="8" background="1" saveData="1">
    <dbPr connection="Provider=Microsoft.Mashup.OleDb.1;Data Source=$Workbook$;Location=&quot;Table001 (Page 1) (2)&quot;;Extended Properties=&quot;&quot;" command="SELECT * FROM [Table001 (Page 1) (2)]"/>
  </connection>
  <connection id="4" xr16:uid="{473C288A-083C-49C7-BA53-0533F756AFB3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5" xr16:uid="{524B633C-9C1F-461E-9899-C702C6F2A654}" keepAlive="1" name="Query - Table001 (Page 1) (4)" description="Connection to the 'Table001 (Page 1) (4)' query in the workbook." type="5" refreshedVersion="8" background="1" saveData="1">
    <dbPr connection="Provider=Microsoft.Mashup.OleDb.1;Data Source=$Workbook$;Location=&quot;Table001 (Page 1) (4)&quot;;Extended Properties=&quot;&quot;" command="SELECT * FROM [Table001 (Page 1) (4)]"/>
  </connection>
  <connection id="6" xr16:uid="{1F8D03E5-1869-4A7F-A1B1-FF6220D195C9}" keepAlive="1" name="Query - Table001 (Page 1) (5)" description="Connection to the 'Table001 (Page 1) (5)' query in the workbook." type="5" refreshedVersion="8" background="1" saveData="1">
    <dbPr connection="Provider=Microsoft.Mashup.OleDb.1;Data Source=$Workbook$;Location=&quot;Table001 (Page 1) (5)&quot;;Extended Properties=&quot;&quot;" command="SELECT * FROM [Table001 (Page 1) (5)]"/>
  </connection>
  <connection id="7" xr16:uid="{FABDC02A-D2CA-4994-BF75-48877024C84F}" keepAlive="1" name="Query - Table001 (Page 1) (6)" description="Connection to the 'Table001 (Page 1) (6)' query in the workbook." type="5" refreshedVersion="8" background="1" saveData="1">
    <dbPr connection="Provider=Microsoft.Mashup.OleDb.1;Data Source=$Workbook$;Location=&quot;Table001 (Page 1) (6)&quot;;Extended Properties=&quot;&quot;" command="SELECT * FROM [Table001 (Page 1) (6)]"/>
  </connection>
  <connection id="8" xr16:uid="{1D138029-A048-423C-A78C-A5C82C567AAF}" keepAlive="1" name="Query - Table001 (Page 1) (7)" description="Connection to the 'Table001 (Page 1) (7)' query in the workbook." type="5" refreshedVersion="8" background="1" saveData="1">
    <dbPr connection="Provider=Microsoft.Mashup.OleDb.1;Data Source=$Workbook$;Location=&quot;Table001 (Page 1) (7)&quot;;Extended Properties=&quot;&quot;" command="SELECT * FROM [Table001 (Page 1) (7)]"/>
  </connection>
</connections>
</file>

<file path=xl/sharedStrings.xml><?xml version="1.0" encoding="utf-8"?>
<sst xmlns="http://schemas.openxmlformats.org/spreadsheetml/2006/main" count="175" uniqueCount="53">
  <si>
    <t>FECHA
COMPRA</t>
  </si>
  <si>
    <t>CANTIDAD</t>
  </si>
  <si>
    <t>PRECIO UNITARIO</t>
  </si>
  <si>
    <t>PRECIO TOTAL</t>
  </si>
  <si>
    <t>PROVEEDOR</t>
  </si>
  <si>
    <t>NIT</t>
  </si>
  <si>
    <t>M3 DE PIEDRIN DE 1/2</t>
  </si>
  <si>
    <t>JORGE MARIO
MONTERROSO
JUAREZ</t>
  </si>
  <si>
    <t>M3 DE ARENA AZUL</t>
  </si>
  <si>
    <t>JORGE MARIO
MONTERROSO</t>
  </si>
  <si>
    <t>M3 DE SELECTO</t>
  </si>
  <si>
    <t>MARIO ROBERTO
FERNANDEZ
LUARCA</t>
  </si>
  <si>
    <t>PRECIO UNITARIO2</t>
  </si>
  <si>
    <t>PRECIO TOTAL2</t>
  </si>
  <si>
    <t>Mes</t>
  </si>
  <si>
    <t>Día</t>
  </si>
  <si>
    <t>Año</t>
  </si>
  <si>
    <t>Nombre del Mes</t>
  </si>
  <si>
    <t>DESCRIPCIÓN DE
COMPRA</t>
  </si>
  <si>
    <t>425M3 DE PIEDRIN DE 3/4</t>
  </si>
  <si>
    <t>HORAS DE ALQUILER DE
MAQUINARIA TIPO
RETROEXCAVADORA</t>
  </si>
  <si>
    <t>ARENA TRITURADA</t>
  </si>
  <si>
    <t>JULIO ALEXANDER
ARANGO TELLO</t>
  </si>
  <si>
    <t>SACOS DE CEMENTO
4060 PSI</t>
  </si>
  <si>
    <t>JOSE REYES</t>
  </si>
  <si>
    <t>February</t>
  </si>
  <si>
    <t>COMPRA DE 700M3 DE
SELECTO</t>
  </si>
  <si>
    <t>COMPRA DE 15000
ADOQUINES DE 210
KG/CM3</t>
  </si>
  <si>
    <t>JULISSA MARIA
AGUIRRE
CASTILLO</t>
  </si>
  <si>
    <t>255 HORAS DE ALQUILER
DE MAQUINARIA TIPO
RETROEXCAVADORA</t>
  </si>
  <si>
    <t>March</t>
  </si>
  <si>
    <t>M3 DE MATERIAL DE
BALATRO MAZATENANGO
SUCHITEPEQUEZ</t>
  </si>
  <si>
    <t>Nombre de Mes</t>
  </si>
  <si>
    <t>NOE OSORIO JOCOL</t>
  </si>
  <si>
    <t>April</t>
  </si>
  <si>
    <t>January</t>
  </si>
  <si>
    <t>COMPRAS DE 700 M3 DE
MATERIAL SELECTO</t>
  </si>
  <si>
    <t>COMPRA DE 580 M3 DE
ARENA TRITURADA</t>
  </si>
  <si>
    <t>LUIS EMILIO
PALACIOS FUNES</t>
  </si>
  <si>
    <t>COMPRAS DE 340 M3
PIEDRIN DE 1/2</t>
  </si>
  <si>
    <t>JULIO
ALEXANDER
ARANGO TELLO</t>
  </si>
  <si>
    <t>MANTENIMIENTO Y
REPARACION DE TECHADO,
INSTALACIONES ELECTRICAS Y
CAMBIO DE PLANCHAS DE
YESO EN CIELO FALSO PARA EL
SALON JARDIN MAZATECO</t>
  </si>
  <si>
    <t>CONSTRUCCIONE
S DEL SUR S.A.</t>
  </si>
  <si>
    <t>May</t>
  </si>
  <si>
    <t>JORGE MARIO MONTERROSO JUAREZ</t>
  </si>
  <si>
    <t>MARIO ROBERTO FERNANDEZ LUARCA</t>
  </si>
  <si>
    <t>JULIO ALEXANDER ARANGO TELLO</t>
  </si>
  <si>
    <t>JULISSA MARIA AGUIRRE CASTILLO</t>
  </si>
  <si>
    <t>LUIS EMILIO PALACIOS FUNES</t>
  </si>
  <si>
    <t>Tipo de Compra</t>
  </si>
  <si>
    <t>Compra de Material</t>
  </si>
  <si>
    <t>Alquiler de Maquinaria</t>
  </si>
  <si>
    <t>Mantenimientos y Reparaciones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</si>
</sst>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Q-100A]* #,##0.00_-;\-[$Q-100A]* #,##0.00_-;_-[$Q-100A]* &quot;-&quot;??_-;_-@_-"/>
    <numFmt numFmtId="165" formatCode="dd/mm/yyyy;@"/>
    <numFmt numFmtId="166" formatCode="[$Q-100A]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wrapText="1"/>
    </xf>
    <xf numFmtId="166" fontId="0" fillId="0" borderId="0" xfId="0" applyNumberFormat="1"/>
  </cellXfs>
  <cellStyles count="1">
    <cellStyle name="Normal" xfId="0" builtinId="0"/>
  </cellStyles>
  <dxfs count="67">
    <dxf>
      <numFmt numFmtId="30" formatCode="@"/>
    </dxf>
    <dxf>
      <numFmt numFmtId="1" formatCode="0"/>
    </dxf>
    <dxf>
      <numFmt numFmtId="30" formatCode="@"/>
    </dxf>
    <dxf>
      <numFmt numFmtId="164" formatCode="_-[$Q-100A]* #,##0.00_-;\-[$Q-100A]* #,##0.00_-;_-[$Q-100A]* &quot;-&quot;??_-;_-@_-"/>
    </dxf>
    <dxf>
      <numFmt numFmtId="164" formatCode="_-[$Q-100A]* #,##0.00_-;\-[$Q-100A]* #,##0.00_-;_-[$Q-100A]* &quot;-&quot;??_-;_-@_-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;@"/>
    </dxf>
    <dxf>
      <numFmt numFmtId="1" formatCode="0"/>
    </dxf>
    <dxf>
      <numFmt numFmtId="30" formatCode="@"/>
    </dxf>
    <dxf>
      <numFmt numFmtId="164" formatCode="_-[$Q-100A]* #,##0.00_-;\-[$Q-100A]* #,##0.00_-;_-[$Q-100A]* &quot;-&quot;??_-;_-@_-"/>
    </dxf>
    <dxf>
      <numFmt numFmtId="164" formatCode="_-[$Q-100A]* #,##0.00_-;\-[$Q-100A]* #,##0.00_-;_-[$Q-100A]* &quot;-&quot;??_-;_-@_-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;@"/>
    </dxf>
    <dxf>
      <numFmt numFmtId="1" formatCode="0"/>
    </dxf>
    <dxf>
      <numFmt numFmtId="30" formatCode="@"/>
    </dxf>
    <dxf>
      <numFmt numFmtId="164" formatCode="_-[$Q-100A]* #,##0.00_-;\-[$Q-100A]* #,##0.00_-;_-[$Q-100A]* &quot;-&quot;??_-;_-@_-"/>
    </dxf>
    <dxf>
      <numFmt numFmtId="164" formatCode="_-[$Q-100A]* #,##0.00_-;\-[$Q-100A]* #,##0.00_-;_-[$Q-100A]* &quot;-&quot;??_-;_-@_-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;@"/>
    </dxf>
    <dxf>
      <numFmt numFmtId="1" formatCode="0"/>
    </dxf>
    <dxf>
      <numFmt numFmtId="30" formatCode="@"/>
    </dxf>
    <dxf>
      <numFmt numFmtId="166" formatCode="[$Q-100A]#,##0.00"/>
    </dxf>
    <dxf>
      <numFmt numFmtId="166" formatCode="[$Q-100A]#,##0.00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d/mm/yyyy;@"/>
    </dxf>
    <dxf>
      <numFmt numFmtId="1" formatCode="0"/>
    </dxf>
    <dxf>
      <numFmt numFmtId="30" formatCode="@"/>
    </dxf>
    <dxf>
      <numFmt numFmtId="164" formatCode="_-[$Q-100A]* #,##0.00_-;\-[$Q-100A]* #,##0.00_-;_-[$Q-100A]* &quot;-&quot;??_-;_-@_-"/>
    </dxf>
    <dxf>
      <numFmt numFmtId="164" formatCode="_-[$Q-100A]* #,##0.00_-;\-[$Q-100A]* #,##0.00_-;_-[$Q-100A]* &quot;-&quot;??_-;_-@_-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165" formatCode="dd/mm/yyyy;@"/>
    </dxf>
    <dxf>
      <numFmt numFmtId="0" formatCode="General"/>
    </dxf>
    <dxf>
      <numFmt numFmtId="165" formatCode="dd/mm/yyyy;@"/>
    </dxf>
    <dxf>
      <numFmt numFmtId="1" formatCode="0"/>
    </dxf>
    <dxf>
      <numFmt numFmtId="30" formatCode="@"/>
    </dxf>
    <dxf>
      <numFmt numFmtId="164" formatCode="_-[$Q-100A]* #,##0.00_-;\-[$Q-100A]* #,##0.00_-;_-[$Q-100A]* &quot;-&quot;??_-;_-@_-"/>
    </dxf>
    <dxf>
      <numFmt numFmtId="164" formatCode="_-[$Q-100A]* #,##0.00_-;\-[$Q-100A]* #,##0.00_-;_-[$Q-100A]* &quot;-&quot;??_-;_-@_-"/>
    </dxf>
    <dxf>
      <numFmt numFmtId="1" formatCode="0"/>
    </dxf>
    <dxf>
      <numFmt numFmtId="30" formatCode="@"/>
    </dxf>
    <dxf>
      <numFmt numFmtId="0" formatCode="General"/>
    </dxf>
    <dxf>
      <numFmt numFmtId="0" formatCode="General"/>
    </dxf>
    <dxf>
      <numFmt numFmtId="165" formatCode="dd/mm/yyyy;@"/>
    </dxf>
    <dxf>
      <numFmt numFmtId="0" formatCode="General"/>
    </dxf>
    <dxf>
      <numFmt numFmtId="165" formatCode="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3A05618-AF23-4A0C-95C4-87FBF9FA47F6}" autoFormatId="16" applyNumberFormats="0" applyBorderFormats="0" applyFontFormats="0" applyPatternFormats="0" applyAlignmentFormats="0" applyWidthHeightFormats="0">
  <queryTableRefresh nextId="14">
    <queryTableFields count="11">
      <queryTableField id="1" name="FECHA_x000a_COMPRA" tableColumnId="1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2" name="DESCRIPCIÓN DE_x000a_COMPRA" tableColumnId="2"/>
      <queryTableField id="3" name="CANTIDAD" tableColumnId="3"/>
      <queryTableField id="8" dataBound="0" tableColumnId="8"/>
      <queryTableField id="9" dataBound="0" tableColumnId="9"/>
      <queryTableField id="6" name="PROVEEDOR" tableColumnId="6"/>
      <queryTableField id="7" name="NIT" tableColumnId="7"/>
    </queryTableFields>
    <queryTableDeletedFields count="2">
      <deletedField name="PRECIO TOTAL"/>
      <deletedField name="PRECIO UNITARIO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58A1532-E231-42B9-8A82-8C85DA25E3D0}" autoFormatId="16" applyNumberFormats="0" applyBorderFormats="0" applyFontFormats="0" applyPatternFormats="0" applyAlignmentFormats="0" applyWidthHeightFormats="0">
  <queryTableRefresh nextId="14">
    <queryTableFields count="11">
      <queryTableField id="1" name="FECHA_x000a_COMPRA" tableColumnId="1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2" name="DESCRIPCIÓN DE_x000a_COMPRA" tableColumnId="2"/>
      <queryTableField id="3" name="CANTIDAD" tableColumnId="3"/>
      <queryTableField id="8" dataBound="0" tableColumnId="8"/>
      <queryTableField id="9" dataBound="0" tableColumnId="9"/>
      <queryTableField id="6" name="PROVEEDOR" tableColumnId="6"/>
      <queryTableField id="7" name="NIT" tableColumnId="7"/>
    </queryTableFields>
    <queryTableDeletedFields count="2">
      <deletedField name="PRECIO UNITARIO"/>
      <deletedField name="PRECIO TOTAL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F2F1980-76DB-4F25-904A-C5BA2056BEB0}" autoFormatId="16" applyNumberFormats="0" applyBorderFormats="0" applyFontFormats="0" applyPatternFormats="0" applyAlignmentFormats="0" applyWidthHeightFormats="0">
  <queryTableRefresh nextId="14">
    <queryTableFields count="11">
      <queryTableField id="1" name="FECHA_x000a_COMPRA" tableColumnId="1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2" name="DESCRIPCIÓN DE_x000a_COMPRA" tableColumnId="2"/>
      <queryTableField id="3" name="CANTIDAD" tableColumnId="3"/>
      <queryTableField id="8" dataBound="0" tableColumnId="8"/>
      <queryTableField id="9" dataBound="0" tableColumnId="9"/>
      <queryTableField id="6" name="PROVEEDOR" tableColumnId="6"/>
      <queryTableField id="7" name="NIT" tableColumnId="7"/>
    </queryTableFields>
    <queryTableDeletedFields count="2">
      <deletedField name="PRECIO UNITARIO"/>
      <deletedField name="PRECIO TOTAL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C38D273-AC70-43D4-9071-7DA865A04C84}" autoFormatId="16" applyNumberFormats="0" applyBorderFormats="0" applyFontFormats="0" applyPatternFormats="0" applyAlignmentFormats="0" applyWidthHeightFormats="0">
  <queryTableRefresh nextId="14">
    <queryTableFields count="11">
      <queryTableField id="1" name="FECHA_x000a_COMPRA" tableColumnId="1"/>
      <queryTableField id="11" dataBound="0" tableColumnId="10"/>
      <queryTableField id="10" dataBound="0" tableColumnId="11"/>
      <queryTableField id="9" dataBound="0" tableColumnId="9"/>
      <queryTableField id="8" dataBound="0" tableColumnId="8"/>
      <queryTableField id="2" name="DESCRIPCIÓN DE_x000a_COMPRA" tableColumnId="2"/>
      <queryTableField id="3" name="CANTIDAD" tableColumnId="3"/>
      <queryTableField id="12" dataBound="0" tableColumnId="14"/>
      <queryTableField id="13" dataBound="0" tableColumnId="16"/>
      <queryTableField id="6" name="PROVEEDOR" tableColumnId="6"/>
      <queryTableField id="7" name="NIT" tableColumnId="7"/>
    </queryTableFields>
    <queryTableDeletedFields count="2">
      <deletedField name="PRECIO UNITARIO"/>
      <deletedField name="PRECIO TOTAL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F26620A-CDE9-4281-980A-832ADC0B032E}" autoFormatId="16" applyNumberFormats="0" applyBorderFormats="0" applyFontFormats="0" applyPatternFormats="0" applyAlignmentFormats="0" applyWidthHeightFormats="0">
  <queryTableRefresh nextId="14">
    <queryTableFields count="11">
      <queryTableField id="1" name="FECHA_x000a_COMPRA" tableColumnId="1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2" name="DESCRIPCIÓN DE_x000a_COMPRA" tableColumnId="2"/>
      <queryTableField id="3" name="CANTIDAD" tableColumnId="3"/>
      <queryTableField id="8" dataBound="0" tableColumnId="8"/>
      <queryTableField id="9" dataBound="0" tableColumnId="9"/>
      <queryTableField id="6" name="PROVEEDOR" tableColumnId="6"/>
      <queryTableField id="7" name="NIT" tableColumnId="7"/>
    </queryTableFields>
    <queryTableDeletedFields count="2">
      <deletedField name="PRECIO UNITARIO"/>
      <deletedField name="PRECIO TOTAL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F52CAA8-A0EB-4BDF-B6D0-3F53E6B8B4B0}" autoFormatId="16" applyNumberFormats="0" applyBorderFormats="0" applyFontFormats="0" applyPatternFormats="0" applyAlignmentFormats="0" applyWidthHeightFormats="0">
  <queryTableRefresh nextId="15">
    <queryTableFields count="12">
      <queryTableField id="1" name="FECHA_x000a_COMPRA" tableColumnId="1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2" name="DESCRIPCIÓN DE_x000a_COMPRA" tableColumnId="2"/>
      <queryTableField id="14" dataBound="0" tableColumnId="4"/>
      <queryTableField id="3" name="CANTIDAD" tableColumnId="3"/>
      <queryTableField id="8" dataBound="0" tableColumnId="8"/>
      <queryTableField id="9" dataBound="0" tableColumnId="9"/>
      <queryTableField id="6" name="PROVEEDOR" tableColumnId="6"/>
      <queryTableField id="7" name="NIT" tableColumnId="7"/>
    </queryTableFields>
    <queryTableDeletedFields count="2">
      <deletedField name="PRECIO TOTAL"/>
      <deletedField name="PRECIO UNITARI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5F9F35-91F8-4347-903D-3E7A8C8D9048}" name="Table001__Page_1___3" displayName="Table001__Page_1___3" ref="A1:K4" tableType="queryTable" totalsRowShown="0">
  <tableColumns count="11">
    <tableColumn id="1" xr3:uid="{5B405423-FF44-4E71-96D6-239CC7A4C86D}" uniqueName="1" name="FECHA_x000a_COMPRA" queryTableFieldId="1" dataDxfId="55"/>
    <tableColumn id="10" xr3:uid="{EEFAAA92-DCA2-450E-86AB-0E48D596E6EC}" uniqueName="10" name="Mes" queryTableFieldId="10" dataDxfId="54"/>
    <tableColumn id="11" xr3:uid="{E067E1D9-662D-4E0C-AEE2-F666444F4529}" uniqueName="11" name="Nombre del Mes" queryTableFieldId="11" dataDxfId="53"/>
    <tableColumn id="12" xr3:uid="{C9CF725E-63D9-4CA8-9832-0279469569E4}" uniqueName="12" name="Día" queryTableFieldId="12" dataDxfId="52"/>
    <tableColumn id="13" xr3:uid="{E3A34092-103C-4137-844E-8287D3C0E4D9}" uniqueName="13" name="Año" queryTableFieldId="13" dataDxfId="51"/>
    <tableColumn id="2" xr3:uid="{314921FB-8F1F-4695-8AB7-43556844C7B9}" uniqueName="2" name="DESCRIPCIÓN DE_x000a_COMPRA" queryTableFieldId="2" dataDxfId="50"/>
    <tableColumn id="3" xr3:uid="{B4C23A58-D9B3-4044-99F2-500B243115BE}" uniqueName="3" name="CANTIDAD" queryTableFieldId="3" dataDxfId="49"/>
    <tableColumn id="8" xr3:uid="{BC97A4EF-CB1C-4344-A3EF-E48407DA051F}" uniqueName="8" name="PRECIO UNITARIO2" queryTableFieldId="8" dataDxfId="48"/>
    <tableColumn id="9" xr3:uid="{1F67BE85-72E2-4491-B1BA-B79497A74D06}" uniqueName="9" name="PRECIO TOTAL2" queryTableFieldId="9" dataDxfId="47"/>
    <tableColumn id="6" xr3:uid="{7417BCCB-34F6-410B-BDF5-F61C2799E415}" uniqueName="6" name="PROVEEDOR" queryTableFieldId="6" dataDxfId="46"/>
    <tableColumn id="7" xr3:uid="{875B8088-B4DD-4200-BE8E-507BB6D251C5}" uniqueName="7" name="NIT" queryTableFieldId="7" dataDxfId="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4C6738-5002-4B38-8E39-598BD208EC51}" name="Table001__Page_1___7" displayName="Table001__Page_1___7" ref="A1:K5" tableType="queryTable" totalsRowShown="0">
  <tableColumns count="11">
    <tableColumn id="1" xr3:uid="{BD4CF4EE-76F1-4C05-BB53-5C1E609A4B33}" uniqueName="1" name="FECHA_x000a_COMPRA" queryTableFieldId="1" dataDxfId="44"/>
    <tableColumn id="10" xr3:uid="{BDE6B2ED-4663-415C-9D70-D1634B971256}" uniqueName="10" name="Mes" queryTableFieldId="10" dataDxfId="43"/>
    <tableColumn id="11" xr3:uid="{8FEEE169-3E0D-46B6-81FB-76EC0C71FCF2}" uniqueName="11" name="Nombre del Mes" queryTableFieldId="11" dataDxfId="42"/>
    <tableColumn id="12" xr3:uid="{95C4AE59-F13C-4BD8-B3C1-D09DAC11608E}" uniqueName="12" name="Día" queryTableFieldId="12" dataDxfId="41"/>
    <tableColumn id="13" xr3:uid="{D0A6644A-CCFC-40D9-9AC6-C1686707A239}" uniqueName="13" name="Año" queryTableFieldId="13" dataDxfId="40"/>
    <tableColumn id="2" xr3:uid="{87E3E209-B16E-4BF9-BEC4-1F54983ECBA6}" uniqueName="2" name="DESCRIPCIÓN DE_x000a_COMPRA" queryTableFieldId="2" dataDxfId="39"/>
    <tableColumn id="3" xr3:uid="{194EF66B-C1C2-45D3-B865-FD503A886FC6}" uniqueName="3" name="CANTIDAD" queryTableFieldId="3" dataDxfId="38"/>
    <tableColumn id="8" xr3:uid="{3736076A-297C-44BF-922C-21CC494EA653}" uniqueName="8" name="PRECIO UNITARIO" queryTableFieldId="8" dataDxfId="37"/>
    <tableColumn id="9" xr3:uid="{EED5F6E4-2A45-4C77-B9F8-F93F1BA7947C}" uniqueName="9" name="PRECIO TOTAL" queryTableFieldId="9" dataDxfId="36"/>
    <tableColumn id="6" xr3:uid="{085812A7-8A98-4535-AF99-495CB34F9D4C}" uniqueName="6" name="PROVEEDOR" queryTableFieldId="6" dataDxfId="35"/>
    <tableColumn id="7" xr3:uid="{99F52218-646F-4B4B-A3F4-645A4E223725}" uniqueName="7" name="NIT" queryTableFieldId="7" dataDxf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941480-AC2B-44F3-9EAF-F4BB5CE0C612}" name="Table001__Page_1___2" displayName="Table001__Page_1___2" ref="A1:K4" tableType="queryTable" totalsRowShown="0">
  <tableColumns count="11">
    <tableColumn id="1" xr3:uid="{3F043EAE-96DA-4128-87A6-1B8F571B0A82}" uniqueName="1" name="FECHA_x000a_COMPRA" queryTableFieldId="1" dataDxfId="33"/>
    <tableColumn id="10" xr3:uid="{C0CB064D-DD56-4F0C-90F1-0811758BC782}" uniqueName="10" name="Mes" queryTableFieldId="10" dataDxfId="32"/>
    <tableColumn id="11" xr3:uid="{E134EE9D-2A29-4409-8199-544501E960A5}" uniqueName="11" name="Nombre del Mes" queryTableFieldId="11" dataDxfId="31"/>
    <tableColumn id="12" xr3:uid="{12EEB520-3108-49F2-8FF6-28EFD6053D31}" uniqueName="12" name="Día" queryTableFieldId="12" dataDxfId="30"/>
    <tableColumn id="13" xr3:uid="{BDB8BC4A-BE6E-4324-AE50-E2C5393D987D}" uniqueName="13" name="Año" queryTableFieldId="13" dataDxfId="29"/>
    <tableColumn id="2" xr3:uid="{146E94AA-9DBA-40CF-B95E-50DCF43F3D8F}" uniqueName="2" name="DESCRIPCIÓN DE_x000a_COMPRA" queryTableFieldId="2" dataDxfId="28"/>
    <tableColumn id="3" xr3:uid="{653D6488-8F65-4814-B7F2-C6F7F6A81AA9}" uniqueName="3" name="CANTIDAD" queryTableFieldId="3" dataDxfId="27"/>
    <tableColumn id="8" xr3:uid="{71AFB8DA-EBD4-4773-8433-0051F6949499}" uniqueName="8" name="PRECIO UNITARIO" queryTableFieldId="8" dataDxfId="26"/>
    <tableColumn id="9" xr3:uid="{CF908AC7-CD84-45CC-9BBC-6538E0320205}" uniqueName="9" name="PRECIO TOTAL" queryTableFieldId="9" dataDxfId="25"/>
    <tableColumn id="6" xr3:uid="{488AC22B-0BFD-4E3C-AB03-E736C8B22C60}" uniqueName="6" name="PROVEEDOR" queryTableFieldId="6" dataDxfId="24"/>
    <tableColumn id="7" xr3:uid="{EFC782E2-323E-48FC-B20C-ED7513FDF703}" uniqueName="7" name="NIT" queryTableFieldId="7" dataDxfId="2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DADC53-39C2-4059-AA7B-5FEB4A5978D8}" name="Table001__Page_1___4" displayName="Table001__Page_1___4" ref="A1:K2" tableType="queryTable" totalsRowShown="0">
  <tableColumns count="11">
    <tableColumn id="1" xr3:uid="{F86BBC42-AE71-4724-9FE7-AA8AFC4582E1}" uniqueName="1" name="FECHA_x000a_COMPRA" queryTableFieldId="1" dataDxfId="22"/>
    <tableColumn id="10" xr3:uid="{F734A25A-2122-4089-AE4D-007D0057501F}" uniqueName="10" name="Mes" queryTableFieldId="11" dataDxfId="21"/>
    <tableColumn id="11" xr3:uid="{A711E4C9-4023-485D-9608-F8272C36FA36}" uniqueName="11" name="Nombre de Mes" queryTableFieldId="10" dataDxfId="20"/>
    <tableColumn id="9" xr3:uid="{02DEBEA6-43CA-45BA-8CE2-1940FA6088EA}" uniqueName="9" name="Día" queryTableFieldId="9" dataDxfId="19"/>
    <tableColumn id="8" xr3:uid="{DC9C23D5-53A5-45D2-ABA8-F1AE8419ADBE}" uniqueName="8" name="Año" queryTableFieldId="8" dataDxfId="18">
      <calculatedColumnFormula>YEAR(A2)</calculatedColumnFormula>
    </tableColumn>
    <tableColumn id="2" xr3:uid="{FC015423-DEFE-4AA6-931E-68286CF17AF2}" uniqueName="2" name="DESCRIPCIÓN DE_x000a_COMPRA" queryTableFieldId="2" dataDxfId="17"/>
    <tableColumn id="3" xr3:uid="{FA3564C6-098A-4D92-8F61-35B94E948790}" uniqueName="3" name="CANTIDAD" queryTableFieldId="3" dataDxfId="16"/>
    <tableColumn id="14" xr3:uid="{B0047704-CEE4-4D83-8EB3-986AC5BE5231}" uniqueName="14" name="PRECIO UNITARIO" queryTableFieldId="12" dataDxfId="15"/>
    <tableColumn id="16" xr3:uid="{C36EC44F-E620-4404-B440-C1256B1EF218}" uniqueName="16" name="PRECIO TOTAL" queryTableFieldId="13" dataDxfId="14"/>
    <tableColumn id="6" xr3:uid="{E62D9628-4602-49B0-BFCF-04FC0BB7A4E8}" uniqueName="6" name="PROVEEDOR" queryTableFieldId="6" dataDxfId="13"/>
    <tableColumn id="7" xr3:uid="{C7528140-9C9C-4508-9417-0D898BDA12A7}" uniqueName="7" name="NIT" queryTableFieldId="7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39BBC3-28D3-440A-816A-8220C8B94C70}" name="Table001__Page_1___5" displayName="Table001__Page_1___5" ref="A1:K5" tableType="queryTable" totalsRowShown="0">
  <tableColumns count="11">
    <tableColumn id="1" xr3:uid="{E866207C-DD80-496F-AE0A-74A1D6A70A08}" uniqueName="1" name="FECHA_x000a_COMPRA" queryTableFieldId="1" dataDxfId="11"/>
    <tableColumn id="10" xr3:uid="{E0D6A1B8-02A2-4B96-AAF4-F5235F4F67A4}" uniqueName="10" name="Mes" queryTableFieldId="10" dataDxfId="10"/>
    <tableColumn id="11" xr3:uid="{92D4B957-E6D9-4C1E-A1A6-8F45212ACD06}" uniqueName="11" name="Nombre de Mes" queryTableFieldId="11" dataDxfId="9"/>
    <tableColumn id="12" xr3:uid="{EE7A156E-9FDE-4525-964D-EDF075DE8849}" uniqueName="12" name="Día" queryTableFieldId="12" dataDxfId="8"/>
    <tableColumn id="13" xr3:uid="{B10A7B6B-C55D-4A35-A6E3-E51A4D4B4191}" uniqueName="13" name="Año" queryTableFieldId="13" dataDxfId="7"/>
    <tableColumn id="2" xr3:uid="{A2083223-5A38-420F-BBE3-F56F940FD01D}" uniqueName="2" name="DESCRIPCIÓN DE_x000a_COMPRA" queryTableFieldId="2" dataDxfId="6"/>
    <tableColumn id="3" xr3:uid="{19CE354B-6623-4093-8FE5-EDFC3BAE541A}" uniqueName="3" name="CANTIDAD" queryTableFieldId="3" dataDxfId="5"/>
    <tableColumn id="8" xr3:uid="{88696576-258A-4F9C-8684-D6FC9DAF4E1D}" uniqueName="8" name="PRECIO UNITARIO" queryTableFieldId="8" dataDxfId="4"/>
    <tableColumn id="9" xr3:uid="{1C02E4B9-9F41-4193-BA47-C77B2A0825AF}" uniqueName="9" name="PRECIO TOTAL" queryTableFieldId="9" dataDxfId="3"/>
    <tableColumn id="6" xr3:uid="{B40157F7-131D-4F24-A543-E9163DAD5960}" uniqueName="6" name="PROVEEDOR" queryTableFieldId="6" dataDxfId="2"/>
    <tableColumn id="7" xr3:uid="{D624F123-CD9F-497C-8098-159D9814CF96}" uniqueName="7" name="NIT" queryTableFieldId="7" dataDxf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288BB5C-C2BF-446A-82B4-917B27DA058A}" name="Table001__Page_1___38" displayName="Table001__Page_1___38" ref="A1:L16" tableType="queryTable" totalsRowShown="0">
  <tableColumns count="12">
    <tableColumn id="1" xr3:uid="{57C847CA-83BF-47B9-9468-BB8FC5F6B940}" uniqueName="1" name="FECHA_x000a_COMPRA" queryTableFieldId="1" dataDxfId="66"/>
    <tableColumn id="10" xr3:uid="{9DC278D7-2D7F-4497-A939-E66A15A3CCC3}" uniqueName="10" name="Mes" queryTableFieldId="10" dataDxfId="65"/>
    <tableColumn id="11" xr3:uid="{F19C94EA-E3F1-4D35-93D8-8225007719BC}" uniqueName="11" name="Nombre del Mes" queryTableFieldId="11" dataDxfId="64"/>
    <tableColumn id="12" xr3:uid="{1CF499D3-CD0C-429D-973B-E85EC0D7C527}" uniqueName="12" name="Día" queryTableFieldId="12" dataDxfId="63"/>
    <tableColumn id="13" xr3:uid="{1E6DA971-6369-4472-B21B-6757886F78BA}" uniqueName="13" name="Año" queryTableFieldId="13" dataDxfId="62"/>
    <tableColumn id="2" xr3:uid="{62A1819B-1920-4F96-8E99-1BDB34FB6B5E}" uniqueName="2" name="DESCRIPCIÓN DE_x000a_COMPRA" queryTableFieldId="2" dataDxfId="61"/>
    <tableColumn id="4" xr3:uid="{579F29E1-9AF8-4ED5-9DF8-171EF3260E33}" uniqueName="4" name="Tipo de Compra" queryTableFieldId="14" dataDxfId="0"/>
    <tableColumn id="3" xr3:uid="{B498782D-EA77-4C8B-AFEB-5FA8C75DCE96}" uniqueName="3" name="CANTIDAD" queryTableFieldId="3" dataDxfId="60"/>
    <tableColumn id="8" xr3:uid="{30E400AE-F40B-4150-A91A-6E6849BD3430}" uniqueName="8" name="PRECIO UNITARIO" queryTableFieldId="8" dataDxfId="59"/>
    <tableColumn id="9" xr3:uid="{C6ADE90C-7BB0-49B7-908A-D28EE685D38B}" uniqueName="9" name="PRECIO TOTAL" queryTableFieldId="9" dataDxfId="58"/>
    <tableColumn id="6" xr3:uid="{A70C722F-6850-4318-B646-E61C7B86937A}" uniqueName="6" name="PROVEEDOR" queryTableFieldId="6" dataDxfId="57"/>
    <tableColumn id="7" xr3:uid="{06FD9743-5996-427A-971D-41073D5353DD}" uniqueName="7" name="NIT" queryTableFieldId="7" dataDxf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2B93-12A1-41DC-B62B-FC56DDA075DB}">
  <dimension ref="A1:K4"/>
  <sheetViews>
    <sheetView topLeftCell="F1" workbookViewId="0">
      <selection sqref="A1:K4"/>
    </sheetView>
  </sheetViews>
  <sheetFormatPr defaultRowHeight="15" x14ac:dyDescent="0.25"/>
  <cols>
    <col min="1" max="1" width="18.42578125" style="4" bestFit="1" customWidth="1"/>
    <col min="2" max="2" width="18.42578125" customWidth="1"/>
    <col min="3" max="3" width="18.42578125" style="4" customWidth="1"/>
    <col min="4" max="5" width="18.42578125" customWidth="1"/>
    <col min="6" max="6" width="27.85546875" style="3" bestFit="1" customWidth="1"/>
    <col min="7" max="7" width="12.85546875" style="1" bestFit="1" customWidth="1"/>
    <col min="8" max="8" width="19.7109375" style="2" customWidth="1"/>
    <col min="9" max="9" width="16.42578125" style="2" customWidth="1"/>
    <col min="10" max="10" width="35.28515625" style="3" bestFit="1" customWidth="1"/>
    <col min="11" max="11" width="11.5703125" style="1" bestFit="1" customWidth="1"/>
  </cols>
  <sheetData>
    <row r="1" spans="1:11" x14ac:dyDescent="0.25">
      <c r="A1" s="4" t="s">
        <v>0</v>
      </c>
      <c r="B1" t="s">
        <v>14</v>
      </c>
      <c r="C1" s="4" t="s">
        <v>17</v>
      </c>
      <c r="D1" t="s">
        <v>15</v>
      </c>
      <c r="E1" t="s">
        <v>16</v>
      </c>
      <c r="F1" s="3" t="s">
        <v>18</v>
      </c>
      <c r="G1" s="1" t="s">
        <v>1</v>
      </c>
      <c r="H1" s="2" t="s">
        <v>12</v>
      </c>
      <c r="I1" s="2" t="s">
        <v>13</v>
      </c>
      <c r="J1" s="3" t="s">
        <v>4</v>
      </c>
      <c r="K1" s="1" t="s">
        <v>5</v>
      </c>
    </row>
    <row r="2" spans="1:11" x14ac:dyDescent="0.25">
      <c r="A2" s="4">
        <v>46032</v>
      </c>
      <c r="B2">
        <v>1</v>
      </c>
      <c r="C2" s="4" t="s">
        <v>35</v>
      </c>
      <c r="D2">
        <v>10</v>
      </c>
      <c r="E2">
        <v>2026</v>
      </c>
      <c r="F2" s="3" t="s">
        <v>6</v>
      </c>
      <c r="G2" s="1">
        <v>400</v>
      </c>
      <c r="H2" s="2">
        <v>223</v>
      </c>
      <c r="I2" s="2">
        <v>89200</v>
      </c>
      <c r="J2" s="3" t="s">
        <v>7</v>
      </c>
      <c r="K2" s="1">
        <v>40752380</v>
      </c>
    </row>
    <row r="3" spans="1:11" x14ac:dyDescent="0.25">
      <c r="A3" s="4">
        <v>46032</v>
      </c>
      <c r="B3">
        <v>1</v>
      </c>
      <c r="C3" s="4" t="s">
        <v>35</v>
      </c>
      <c r="D3">
        <v>10</v>
      </c>
      <c r="E3">
        <v>2026</v>
      </c>
      <c r="F3" s="3" t="s">
        <v>8</v>
      </c>
      <c r="G3" s="1">
        <v>650</v>
      </c>
      <c r="H3" s="2">
        <v>135</v>
      </c>
      <c r="I3" s="2">
        <v>87750</v>
      </c>
      <c r="J3" s="3" t="s">
        <v>9</v>
      </c>
      <c r="K3" s="1">
        <v>40752380</v>
      </c>
    </row>
    <row r="4" spans="1:11" x14ac:dyDescent="0.25">
      <c r="A4" s="4">
        <v>46045</v>
      </c>
      <c r="B4">
        <v>1</v>
      </c>
      <c r="C4" s="4" t="s">
        <v>35</v>
      </c>
      <c r="D4">
        <v>23</v>
      </c>
      <c r="E4">
        <v>2026</v>
      </c>
      <c r="F4" s="3" t="s">
        <v>10</v>
      </c>
      <c r="G4" s="1">
        <v>550</v>
      </c>
      <c r="H4" s="2">
        <v>110</v>
      </c>
      <c r="I4" s="2">
        <v>60500</v>
      </c>
      <c r="J4" s="3" t="s">
        <v>11</v>
      </c>
      <c r="K4" s="1">
        <v>28865367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6887-E7D8-4FD4-B9BD-8E4CC5225CB9}">
  <dimension ref="A1:K5"/>
  <sheetViews>
    <sheetView topLeftCell="G1" workbookViewId="0">
      <selection activeCell="A2" sqref="A2:K5"/>
    </sheetView>
  </sheetViews>
  <sheetFormatPr defaultRowHeight="15" x14ac:dyDescent="0.25"/>
  <cols>
    <col min="1" max="1" width="18.42578125" bestFit="1" customWidth="1"/>
    <col min="2" max="5" width="18.42578125" customWidth="1"/>
    <col min="6" max="6" width="57.85546875" style="3" bestFit="1" customWidth="1"/>
    <col min="7" max="7" width="12.85546875" style="1" bestFit="1" customWidth="1"/>
    <col min="8" max="8" width="19.7109375" style="6" customWidth="1"/>
    <col min="9" max="9" width="16.42578125" style="6" customWidth="1"/>
    <col min="10" max="10" width="35.28515625" style="3" bestFit="1" customWidth="1"/>
    <col min="11" max="11" width="11.5703125" style="1" bestFit="1" customWidth="1"/>
  </cols>
  <sheetData>
    <row r="1" spans="1:11" x14ac:dyDescent="0.25">
      <c r="A1" s="4" t="s">
        <v>0</v>
      </c>
      <c r="B1" t="s">
        <v>14</v>
      </c>
      <c r="C1" t="s">
        <v>17</v>
      </c>
      <c r="D1" t="s">
        <v>15</v>
      </c>
      <c r="E1" t="s">
        <v>16</v>
      </c>
      <c r="F1" s="3" t="s">
        <v>18</v>
      </c>
      <c r="G1" s="1" t="s">
        <v>1</v>
      </c>
      <c r="H1" s="6" t="s">
        <v>2</v>
      </c>
      <c r="I1" s="6" t="s">
        <v>3</v>
      </c>
      <c r="J1" s="3" t="s">
        <v>4</v>
      </c>
      <c r="K1" s="1" t="s">
        <v>5</v>
      </c>
    </row>
    <row r="2" spans="1:11" x14ac:dyDescent="0.25">
      <c r="A2" s="4">
        <v>46057</v>
      </c>
      <c r="B2">
        <v>2</v>
      </c>
      <c r="C2" t="s">
        <v>25</v>
      </c>
      <c r="D2">
        <v>4</v>
      </c>
      <c r="E2">
        <v>2026</v>
      </c>
      <c r="F2" s="3" t="s">
        <v>19</v>
      </c>
      <c r="G2" s="1">
        <v>425</v>
      </c>
      <c r="H2" s="6">
        <v>210</v>
      </c>
      <c r="I2" s="6">
        <v>89250</v>
      </c>
      <c r="J2" s="3" t="s">
        <v>11</v>
      </c>
      <c r="K2" s="1">
        <v>28865367</v>
      </c>
    </row>
    <row r="3" spans="1:11" x14ac:dyDescent="0.25">
      <c r="A3" s="4">
        <v>46063</v>
      </c>
      <c r="B3">
        <v>2</v>
      </c>
      <c r="C3" t="s">
        <v>25</v>
      </c>
      <c r="D3">
        <v>10</v>
      </c>
      <c r="E3">
        <v>2026</v>
      </c>
      <c r="F3" s="3" t="s">
        <v>20</v>
      </c>
      <c r="G3" s="1">
        <v>225</v>
      </c>
      <c r="H3" s="6">
        <v>350</v>
      </c>
      <c r="I3" s="6">
        <v>78750</v>
      </c>
      <c r="J3" s="3" t="s">
        <v>7</v>
      </c>
      <c r="K3" s="1">
        <v>40752380</v>
      </c>
    </row>
    <row r="4" spans="1:11" x14ac:dyDescent="0.25">
      <c r="A4" s="4">
        <v>46070</v>
      </c>
      <c r="B4">
        <v>2</v>
      </c>
      <c r="C4" t="s">
        <v>25</v>
      </c>
      <c r="D4">
        <v>17</v>
      </c>
      <c r="E4">
        <v>2026</v>
      </c>
      <c r="F4" s="3" t="s">
        <v>21</v>
      </c>
      <c r="G4" s="1">
        <v>550</v>
      </c>
      <c r="H4" s="6">
        <v>160</v>
      </c>
      <c r="I4" s="6">
        <v>88000</v>
      </c>
      <c r="J4" s="3" t="s">
        <v>22</v>
      </c>
      <c r="K4" s="1">
        <v>83200444</v>
      </c>
    </row>
    <row r="5" spans="1:11" x14ac:dyDescent="0.25">
      <c r="A5" s="4">
        <v>46070</v>
      </c>
      <c r="B5">
        <v>2</v>
      </c>
      <c r="C5" t="s">
        <v>25</v>
      </c>
      <c r="D5">
        <v>17</v>
      </c>
      <c r="E5">
        <v>2026</v>
      </c>
      <c r="F5" s="3" t="s">
        <v>23</v>
      </c>
      <c r="G5" s="1">
        <v>1150</v>
      </c>
      <c r="H5" s="6">
        <v>78</v>
      </c>
      <c r="I5" s="6">
        <v>89700</v>
      </c>
      <c r="J5" s="3" t="s">
        <v>24</v>
      </c>
      <c r="K5" s="1">
        <v>95100962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5E95-E824-47AB-80A2-328463591E30}">
  <dimension ref="A1:K4"/>
  <sheetViews>
    <sheetView topLeftCell="G1" workbookViewId="0">
      <selection activeCell="A2" sqref="A2:K4"/>
    </sheetView>
  </sheetViews>
  <sheetFormatPr defaultRowHeight="15" x14ac:dyDescent="0.25"/>
  <cols>
    <col min="1" max="1" width="18.42578125" bestFit="1" customWidth="1"/>
    <col min="2" max="5" width="18.42578125" customWidth="1"/>
    <col min="6" max="6" width="61.42578125" style="3" bestFit="1" customWidth="1"/>
    <col min="7" max="7" width="12.85546875" style="1" bestFit="1" customWidth="1"/>
    <col min="8" max="8" width="19.7109375" style="2" customWidth="1"/>
    <col min="9" max="9" width="16.42578125" style="2" customWidth="1"/>
    <col min="10" max="10" width="34.28515625" style="3" bestFit="1" customWidth="1"/>
    <col min="11" max="11" width="11.5703125" style="1" bestFit="1" customWidth="1"/>
  </cols>
  <sheetData>
    <row r="1" spans="1:11" x14ac:dyDescent="0.25">
      <c r="A1" t="s">
        <v>0</v>
      </c>
      <c r="B1" t="s">
        <v>14</v>
      </c>
      <c r="C1" t="s">
        <v>17</v>
      </c>
      <c r="D1" t="s">
        <v>15</v>
      </c>
      <c r="E1" t="s">
        <v>16</v>
      </c>
      <c r="F1" s="3" t="s">
        <v>18</v>
      </c>
      <c r="G1" s="1" t="s">
        <v>1</v>
      </c>
      <c r="H1" s="2" t="s">
        <v>2</v>
      </c>
      <c r="I1" s="2" t="s">
        <v>3</v>
      </c>
      <c r="J1" s="3" t="s">
        <v>4</v>
      </c>
      <c r="K1" s="1" t="s">
        <v>5</v>
      </c>
    </row>
    <row r="2" spans="1:11" x14ac:dyDescent="0.25">
      <c r="A2" s="4">
        <v>46093</v>
      </c>
      <c r="B2">
        <v>3</v>
      </c>
      <c r="C2" t="s">
        <v>30</v>
      </c>
      <c r="D2">
        <v>12</v>
      </c>
      <c r="E2">
        <v>2026</v>
      </c>
      <c r="F2" s="3" t="s">
        <v>26</v>
      </c>
      <c r="G2" s="1">
        <v>700</v>
      </c>
      <c r="H2" s="2">
        <v>125</v>
      </c>
      <c r="I2" s="2">
        <v>87500</v>
      </c>
      <c r="J2" s="3" t="s">
        <v>7</v>
      </c>
      <c r="K2" s="1">
        <v>40752380</v>
      </c>
    </row>
    <row r="3" spans="1:11" x14ac:dyDescent="0.25">
      <c r="A3" s="4">
        <v>46098</v>
      </c>
      <c r="B3">
        <v>3</v>
      </c>
      <c r="C3" t="s">
        <v>30</v>
      </c>
      <c r="D3">
        <v>17</v>
      </c>
      <c r="E3">
        <v>2026</v>
      </c>
      <c r="F3" s="3" t="s">
        <v>27</v>
      </c>
      <c r="G3" s="1">
        <v>15000</v>
      </c>
      <c r="H3" s="2">
        <v>5.95</v>
      </c>
      <c r="I3" s="2">
        <v>89250</v>
      </c>
      <c r="J3" s="3" t="s">
        <v>28</v>
      </c>
      <c r="K3" s="1">
        <v>10240985</v>
      </c>
    </row>
    <row r="4" spans="1:11" x14ac:dyDescent="0.25">
      <c r="A4" s="4">
        <v>46107</v>
      </c>
      <c r="B4">
        <v>3</v>
      </c>
      <c r="C4" t="s">
        <v>30</v>
      </c>
      <c r="D4">
        <v>26</v>
      </c>
      <c r="E4">
        <v>2026</v>
      </c>
      <c r="F4" s="3" t="s">
        <v>29</v>
      </c>
      <c r="G4" s="1">
        <v>255</v>
      </c>
      <c r="H4" s="2">
        <v>350</v>
      </c>
      <c r="I4" s="2">
        <v>89250</v>
      </c>
      <c r="J4" s="3" t="s">
        <v>7</v>
      </c>
      <c r="K4" s="1">
        <v>40752380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9109-2674-4021-9E87-5C59AE447C0B}">
  <dimension ref="A1:K2"/>
  <sheetViews>
    <sheetView topLeftCell="F1" workbookViewId="0">
      <selection activeCell="A2" sqref="A2:K2"/>
    </sheetView>
  </sheetViews>
  <sheetFormatPr defaultRowHeight="15" x14ac:dyDescent="0.25"/>
  <cols>
    <col min="1" max="1" width="18.42578125" bestFit="1" customWidth="1"/>
    <col min="2" max="3" width="18.42578125" customWidth="1"/>
    <col min="4" max="4" width="11.42578125" bestFit="1" customWidth="1"/>
    <col min="5" max="5" width="12.85546875" bestFit="1" customWidth="1"/>
    <col min="6" max="6" width="57.140625" style="3" bestFit="1" customWidth="1"/>
    <col min="7" max="7" width="16.42578125" bestFit="1" customWidth="1"/>
    <col min="8" max="8" width="19.85546875" style="2" bestFit="1" customWidth="1"/>
    <col min="9" max="9" width="15.140625" style="2" bestFit="1" customWidth="1"/>
    <col min="10" max="10" width="19" style="3" bestFit="1" customWidth="1"/>
    <col min="11" max="11" width="9" style="1" bestFit="1" customWidth="1"/>
  </cols>
  <sheetData>
    <row r="1" spans="1:11" x14ac:dyDescent="0.25">
      <c r="A1" t="s">
        <v>0</v>
      </c>
      <c r="B1" t="s">
        <v>14</v>
      </c>
      <c r="C1" t="s">
        <v>32</v>
      </c>
      <c r="D1" t="s">
        <v>15</v>
      </c>
      <c r="E1" t="s">
        <v>16</v>
      </c>
      <c r="F1" s="3" t="s">
        <v>18</v>
      </c>
      <c r="G1" t="s">
        <v>1</v>
      </c>
      <c r="H1" s="2" t="s">
        <v>2</v>
      </c>
      <c r="I1" s="2" t="s">
        <v>3</v>
      </c>
      <c r="J1" s="3" t="s">
        <v>4</v>
      </c>
      <c r="K1" s="1" t="s">
        <v>5</v>
      </c>
    </row>
    <row r="2" spans="1:11" x14ac:dyDescent="0.25">
      <c r="A2" s="4">
        <v>46127</v>
      </c>
      <c r="B2">
        <v>4</v>
      </c>
      <c r="C2" t="s">
        <v>34</v>
      </c>
      <c r="D2">
        <v>15</v>
      </c>
      <c r="E2">
        <f>YEAR(A2)</f>
        <v>2026</v>
      </c>
      <c r="F2" s="3" t="s">
        <v>31</v>
      </c>
      <c r="G2" s="1">
        <v>280</v>
      </c>
      <c r="H2" s="2">
        <v>300</v>
      </c>
      <c r="I2" s="2">
        <v>84000</v>
      </c>
      <c r="J2" s="5" t="s">
        <v>33</v>
      </c>
      <c r="K2" s="1">
        <v>43717438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54BB-ABC2-4A1F-921A-53E29D813475}">
  <dimension ref="A1:K5"/>
  <sheetViews>
    <sheetView topLeftCell="G1" workbookViewId="0">
      <selection activeCell="K5" sqref="K5"/>
    </sheetView>
  </sheetViews>
  <sheetFormatPr defaultRowHeight="15" x14ac:dyDescent="0.25"/>
  <cols>
    <col min="1" max="1" width="18.42578125" style="4" bestFit="1" customWidth="1"/>
    <col min="2" max="5" width="18.42578125" customWidth="1"/>
    <col min="6" max="6" width="81.140625" style="3" bestFit="1" customWidth="1"/>
    <col min="7" max="7" width="12.85546875" style="1" bestFit="1" customWidth="1"/>
    <col min="8" max="8" width="19.7109375" style="2" customWidth="1"/>
    <col min="9" max="9" width="16.42578125" style="2" customWidth="1"/>
    <col min="10" max="10" width="31.5703125" style="3" bestFit="1" customWidth="1"/>
    <col min="11" max="11" width="12.5703125" style="1" bestFit="1" customWidth="1"/>
  </cols>
  <sheetData>
    <row r="1" spans="1:11" x14ac:dyDescent="0.25">
      <c r="A1" s="4" t="s">
        <v>0</v>
      </c>
      <c r="B1" t="s">
        <v>14</v>
      </c>
      <c r="C1" t="s">
        <v>32</v>
      </c>
      <c r="D1" t="s">
        <v>15</v>
      </c>
      <c r="E1" t="s">
        <v>16</v>
      </c>
      <c r="F1" s="3" t="s">
        <v>18</v>
      </c>
      <c r="G1" s="1" t="s">
        <v>1</v>
      </c>
      <c r="H1" s="2" t="s">
        <v>2</v>
      </c>
      <c r="I1" s="2" t="s">
        <v>3</v>
      </c>
      <c r="J1" s="3" t="s">
        <v>4</v>
      </c>
      <c r="K1" s="1" t="s">
        <v>5</v>
      </c>
    </row>
    <row r="2" spans="1:11" x14ac:dyDescent="0.25">
      <c r="A2" s="4">
        <v>46157</v>
      </c>
      <c r="B2">
        <v>5</v>
      </c>
      <c r="C2" t="s">
        <v>43</v>
      </c>
      <c r="D2">
        <v>15</v>
      </c>
      <c r="E2">
        <v>2026</v>
      </c>
      <c r="F2" s="3" t="s">
        <v>36</v>
      </c>
      <c r="G2" s="1">
        <v>700</v>
      </c>
      <c r="H2" s="2">
        <v>125</v>
      </c>
      <c r="I2" s="2">
        <v>87500</v>
      </c>
      <c r="J2" s="3" t="s">
        <v>24</v>
      </c>
      <c r="K2" s="1">
        <v>95100962</v>
      </c>
    </row>
    <row r="3" spans="1:11" x14ac:dyDescent="0.25">
      <c r="A3" s="4">
        <v>46157</v>
      </c>
      <c r="B3">
        <v>5</v>
      </c>
      <c r="C3" t="s">
        <v>43</v>
      </c>
      <c r="D3">
        <v>15</v>
      </c>
      <c r="E3">
        <v>2026</v>
      </c>
      <c r="F3" s="3" t="s">
        <v>37</v>
      </c>
      <c r="G3" s="1">
        <v>580</v>
      </c>
      <c r="H3" s="2">
        <v>150</v>
      </c>
      <c r="I3" s="2">
        <v>87000</v>
      </c>
      <c r="J3" s="3" t="s">
        <v>38</v>
      </c>
      <c r="K3" s="1">
        <v>85401773</v>
      </c>
    </row>
    <row r="4" spans="1:11" x14ac:dyDescent="0.25">
      <c r="A4" s="4">
        <v>46157</v>
      </c>
      <c r="B4">
        <v>5</v>
      </c>
      <c r="C4" t="s">
        <v>43</v>
      </c>
      <c r="D4">
        <v>15</v>
      </c>
      <c r="E4">
        <v>2026</v>
      </c>
      <c r="F4" s="3" t="s">
        <v>39</v>
      </c>
      <c r="G4" s="1">
        <v>340</v>
      </c>
      <c r="H4" s="2">
        <v>250</v>
      </c>
      <c r="I4" s="2">
        <v>85000</v>
      </c>
      <c r="J4" s="3" t="s">
        <v>40</v>
      </c>
      <c r="K4" s="1">
        <v>83200444</v>
      </c>
    </row>
    <row r="5" spans="1:11" x14ac:dyDescent="0.25">
      <c r="A5" s="4">
        <v>46160</v>
      </c>
      <c r="B5">
        <v>5</v>
      </c>
      <c r="C5" t="s">
        <v>43</v>
      </c>
      <c r="D5">
        <v>18</v>
      </c>
      <c r="E5">
        <v>2026</v>
      </c>
      <c r="F5" s="3" t="s">
        <v>41</v>
      </c>
      <c r="G5" s="1">
        <v>1</v>
      </c>
      <c r="H5" s="2">
        <v>89700</v>
      </c>
      <c r="I5" s="2">
        <v>89700</v>
      </c>
      <c r="J5" s="3" t="s">
        <v>42</v>
      </c>
      <c r="K5" s="1">
        <v>120644355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650EE-468D-4C5E-AAB6-3E390379F6D3}">
  <dimension ref="A1:L16"/>
  <sheetViews>
    <sheetView tabSelected="1" topLeftCell="F1" workbookViewId="0">
      <selection activeCell="G20" sqref="G20"/>
    </sheetView>
  </sheetViews>
  <sheetFormatPr defaultRowHeight="15" x14ac:dyDescent="0.25"/>
  <cols>
    <col min="1" max="1" width="16.140625" bestFit="1" customWidth="1"/>
    <col min="6" max="6" width="92" customWidth="1"/>
    <col min="7" max="7" width="29.85546875" bestFit="1" customWidth="1"/>
    <col min="9" max="9" width="18.85546875" bestFit="1" customWidth="1"/>
    <col min="10" max="10" width="16.5703125" bestFit="1" customWidth="1"/>
    <col min="11" max="11" width="34.42578125" bestFit="1" customWidth="1"/>
    <col min="12" max="12" width="10" bestFit="1" customWidth="1"/>
  </cols>
  <sheetData>
    <row r="1" spans="1:12" x14ac:dyDescent="0.25">
      <c r="A1" s="4" t="s">
        <v>0</v>
      </c>
      <c r="B1" t="s">
        <v>14</v>
      </c>
      <c r="C1" s="4" t="s">
        <v>17</v>
      </c>
      <c r="D1" t="s">
        <v>15</v>
      </c>
      <c r="E1" t="s">
        <v>16</v>
      </c>
      <c r="F1" s="3" t="s">
        <v>18</v>
      </c>
      <c r="G1" s="3" t="s">
        <v>49</v>
      </c>
      <c r="H1" s="1" t="s">
        <v>1</v>
      </c>
      <c r="I1" s="2" t="s">
        <v>2</v>
      </c>
      <c r="J1" s="2" t="s">
        <v>3</v>
      </c>
      <c r="K1" s="3" t="s">
        <v>4</v>
      </c>
      <c r="L1" s="1" t="s">
        <v>5</v>
      </c>
    </row>
    <row r="2" spans="1:12" x14ac:dyDescent="0.25">
      <c r="A2" s="4">
        <v>46032</v>
      </c>
      <c r="B2">
        <v>1</v>
      </c>
      <c r="C2" s="4" t="s">
        <v>35</v>
      </c>
      <c r="D2">
        <v>10</v>
      </c>
      <c r="E2">
        <v>2026</v>
      </c>
      <c r="F2" s="3" t="s">
        <v>6</v>
      </c>
      <c r="G2" s="3" t="s">
        <v>50</v>
      </c>
      <c r="H2" s="1">
        <v>400</v>
      </c>
      <c r="I2" s="2">
        <v>223</v>
      </c>
      <c r="J2" s="2">
        <v>89200</v>
      </c>
      <c r="K2" s="5" t="s">
        <v>44</v>
      </c>
      <c r="L2" s="1">
        <v>40752380</v>
      </c>
    </row>
    <row r="3" spans="1:12" x14ac:dyDescent="0.25">
      <c r="A3" s="4">
        <v>46032</v>
      </c>
      <c r="B3">
        <v>1</v>
      </c>
      <c r="C3" s="4" t="s">
        <v>35</v>
      </c>
      <c r="D3">
        <v>10</v>
      </c>
      <c r="E3">
        <v>2026</v>
      </c>
      <c r="F3" s="3" t="s">
        <v>8</v>
      </c>
      <c r="G3" s="3" t="s">
        <v>50</v>
      </c>
      <c r="H3" s="1">
        <v>650</v>
      </c>
      <c r="I3" s="2">
        <v>135</v>
      </c>
      <c r="J3" s="2">
        <v>87750</v>
      </c>
      <c r="K3" s="5" t="s">
        <v>44</v>
      </c>
      <c r="L3" s="1">
        <v>40752380</v>
      </c>
    </row>
    <row r="4" spans="1:12" x14ac:dyDescent="0.25">
      <c r="A4" s="4">
        <v>46045</v>
      </c>
      <c r="B4">
        <v>1</v>
      </c>
      <c r="C4" s="4" t="s">
        <v>35</v>
      </c>
      <c r="D4">
        <v>23</v>
      </c>
      <c r="E4">
        <v>2026</v>
      </c>
      <c r="F4" s="3" t="s">
        <v>10</v>
      </c>
      <c r="G4" s="3" t="s">
        <v>50</v>
      </c>
      <c r="H4" s="1">
        <v>550</v>
      </c>
      <c r="I4" s="2">
        <v>110</v>
      </c>
      <c r="J4" s="2">
        <v>60500</v>
      </c>
      <c r="K4" s="5" t="s">
        <v>45</v>
      </c>
      <c r="L4" s="1">
        <v>28865367</v>
      </c>
    </row>
    <row r="5" spans="1:12" x14ac:dyDescent="0.25">
      <c r="A5" s="4">
        <v>46057</v>
      </c>
      <c r="B5">
        <v>2</v>
      </c>
      <c r="C5" s="4" t="s">
        <v>25</v>
      </c>
      <c r="D5">
        <v>4</v>
      </c>
      <c r="E5">
        <v>2026</v>
      </c>
      <c r="F5" s="3" t="s">
        <v>19</v>
      </c>
      <c r="G5" s="3" t="s">
        <v>50</v>
      </c>
      <c r="H5" s="1">
        <v>425</v>
      </c>
      <c r="I5" s="2">
        <v>210</v>
      </c>
      <c r="J5" s="2">
        <v>89250</v>
      </c>
      <c r="K5" s="5" t="s">
        <v>45</v>
      </c>
      <c r="L5" s="1">
        <v>28865367</v>
      </c>
    </row>
    <row r="6" spans="1:12" x14ac:dyDescent="0.25">
      <c r="A6" s="4">
        <v>46063</v>
      </c>
      <c r="B6">
        <v>2</v>
      </c>
      <c r="C6" s="4" t="s">
        <v>25</v>
      </c>
      <c r="D6">
        <v>10</v>
      </c>
      <c r="E6">
        <v>2026</v>
      </c>
      <c r="F6" s="3" t="s">
        <v>20</v>
      </c>
      <c r="G6" s="3" t="s">
        <v>51</v>
      </c>
      <c r="H6" s="1">
        <v>225</v>
      </c>
      <c r="I6" s="2">
        <v>350</v>
      </c>
      <c r="J6" s="2">
        <v>78750</v>
      </c>
      <c r="K6" s="5" t="s">
        <v>44</v>
      </c>
      <c r="L6" s="1">
        <v>40752380</v>
      </c>
    </row>
    <row r="7" spans="1:12" x14ac:dyDescent="0.25">
      <c r="A7" s="4">
        <v>46070</v>
      </c>
      <c r="B7">
        <v>2</v>
      </c>
      <c r="C7" s="4" t="s">
        <v>25</v>
      </c>
      <c r="D7">
        <v>17</v>
      </c>
      <c r="E7">
        <v>2026</v>
      </c>
      <c r="F7" s="3" t="s">
        <v>21</v>
      </c>
      <c r="G7" s="3" t="s">
        <v>50</v>
      </c>
      <c r="H7" s="1">
        <v>550</v>
      </c>
      <c r="I7" s="2">
        <v>160</v>
      </c>
      <c r="J7" s="2">
        <v>88000</v>
      </c>
      <c r="K7" s="5" t="s">
        <v>46</v>
      </c>
      <c r="L7" s="1">
        <v>83200444</v>
      </c>
    </row>
    <row r="8" spans="1:12" x14ac:dyDescent="0.25">
      <c r="A8" s="4">
        <v>46070</v>
      </c>
      <c r="B8">
        <v>2</v>
      </c>
      <c r="C8" s="4" t="s">
        <v>25</v>
      </c>
      <c r="D8">
        <v>17</v>
      </c>
      <c r="E8">
        <v>2026</v>
      </c>
      <c r="F8" s="3" t="s">
        <v>23</v>
      </c>
      <c r="G8" s="3" t="s">
        <v>50</v>
      </c>
      <c r="H8" s="1">
        <v>1150</v>
      </c>
      <c r="I8" s="2">
        <v>78</v>
      </c>
      <c r="J8" s="2">
        <v>89700</v>
      </c>
      <c r="K8" s="3" t="s">
        <v>24</v>
      </c>
      <c r="L8" s="1">
        <v>95100962</v>
      </c>
    </row>
    <row r="9" spans="1:12" x14ac:dyDescent="0.25">
      <c r="A9" s="4">
        <v>46093</v>
      </c>
      <c r="B9">
        <v>3</v>
      </c>
      <c r="C9" s="4" t="s">
        <v>30</v>
      </c>
      <c r="D9">
        <v>12</v>
      </c>
      <c r="E9">
        <v>2026</v>
      </c>
      <c r="F9" s="3" t="s">
        <v>26</v>
      </c>
      <c r="G9" s="3" t="s">
        <v>50</v>
      </c>
      <c r="H9" s="1">
        <v>700</v>
      </c>
      <c r="I9" s="2">
        <v>125</v>
      </c>
      <c r="J9" s="2">
        <v>87500</v>
      </c>
      <c r="K9" s="5" t="s">
        <v>44</v>
      </c>
      <c r="L9" s="1">
        <v>40752380</v>
      </c>
    </row>
    <row r="10" spans="1:12" x14ac:dyDescent="0.25">
      <c r="A10" s="4">
        <v>46098</v>
      </c>
      <c r="B10">
        <v>3</v>
      </c>
      <c r="C10" s="4" t="s">
        <v>30</v>
      </c>
      <c r="D10">
        <v>17</v>
      </c>
      <c r="E10">
        <v>2026</v>
      </c>
      <c r="F10" s="3" t="s">
        <v>27</v>
      </c>
      <c r="G10" s="3" t="s">
        <v>50</v>
      </c>
      <c r="H10" s="1">
        <v>15000</v>
      </c>
      <c r="I10" s="2">
        <v>5.95</v>
      </c>
      <c r="J10" s="2">
        <v>89250</v>
      </c>
      <c r="K10" s="5" t="s">
        <v>47</v>
      </c>
      <c r="L10" s="1">
        <v>10240985</v>
      </c>
    </row>
    <row r="11" spans="1:12" x14ac:dyDescent="0.25">
      <c r="A11" s="4">
        <v>46107</v>
      </c>
      <c r="B11">
        <v>3</v>
      </c>
      <c r="C11" s="4" t="s">
        <v>30</v>
      </c>
      <c r="D11">
        <v>26</v>
      </c>
      <c r="E11">
        <v>2026</v>
      </c>
      <c r="F11" s="3" t="s">
        <v>29</v>
      </c>
      <c r="G11" s="3" t="s">
        <v>51</v>
      </c>
      <c r="H11" s="1">
        <v>255</v>
      </c>
      <c r="I11" s="2">
        <v>350</v>
      </c>
      <c r="J11" s="2">
        <v>89250</v>
      </c>
      <c r="K11" s="5" t="s">
        <v>44</v>
      </c>
      <c r="L11" s="1">
        <v>40752380</v>
      </c>
    </row>
    <row r="12" spans="1:12" x14ac:dyDescent="0.25">
      <c r="A12" s="4">
        <v>46127</v>
      </c>
      <c r="B12">
        <v>4</v>
      </c>
      <c r="C12" s="4" t="s">
        <v>34</v>
      </c>
      <c r="D12">
        <v>15</v>
      </c>
      <c r="E12">
        <f>YEAR(A12)</f>
        <v>2026</v>
      </c>
      <c r="F12" s="3" t="s">
        <v>31</v>
      </c>
      <c r="G12" s="3" t="s">
        <v>50</v>
      </c>
      <c r="H12" s="1">
        <v>280</v>
      </c>
      <c r="I12" s="2">
        <v>300</v>
      </c>
      <c r="J12" s="2">
        <v>84000</v>
      </c>
      <c r="K12" s="5" t="s">
        <v>33</v>
      </c>
      <c r="L12" s="1">
        <v>43717438</v>
      </c>
    </row>
    <row r="13" spans="1:12" x14ac:dyDescent="0.25">
      <c r="A13" s="4">
        <v>46157</v>
      </c>
      <c r="B13">
        <v>5</v>
      </c>
      <c r="C13" s="4" t="s">
        <v>43</v>
      </c>
      <c r="D13">
        <v>15</v>
      </c>
      <c r="E13">
        <v>2026</v>
      </c>
      <c r="F13" s="3" t="s">
        <v>36</v>
      </c>
      <c r="G13" s="3" t="s">
        <v>50</v>
      </c>
      <c r="H13" s="1">
        <v>700</v>
      </c>
      <c r="I13" s="2">
        <v>125</v>
      </c>
      <c r="J13" s="2">
        <v>87500</v>
      </c>
      <c r="K13" s="3" t="s">
        <v>24</v>
      </c>
      <c r="L13" s="1">
        <v>95100962</v>
      </c>
    </row>
    <row r="14" spans="1:12" x14ac:dyDescent="0.25">
      <c r="A14" s="4">
        <v>46157</v>
      </c>
      <c r="B14">
        <v>5</v>
      </c>
      <c r="C14" s="4" t="s">
        <v>43</v>
      </c>
      <c r="D14">
        <v>15</v>
      </c>
      <c r="E14">
        <v>2026</v>
      </c>
      <c r="F14" s="3" t="s">
        <v>37</v>
      </c>
      <c r="G14" s="3" t="s">
        <v>50</v>
      </c>
      <c r="H14" s="1">
        <v>580</v>
      </c>
      <c r="I14" s="2">
        <v>150</v>
      </c>
      <c r="J14" s="2">
        <v>87000</v>
      </c>
      <c r="K14" s="5" t="s">
        <v>48</v>
      </c>
      <c r="L14" s="1">
        <v>85401773</v>
      </c>
    </row>
    <row r="15" spans="1:12" x14ac:dyDescent="0.25">
      <c r="A15" s="4">
        <v>46157</v>
      </c>
      <c r="B15">
        <v>5</v>
      </c>
      <c r="C15" s="4" t="s">
        <v>43</v>
      </c>
      <c r="D15">
        <v>15</v>
      </c>
      <c r="E15">
        <v>2026</v>
      </c>
      <c r="F15" s="3" t="s">
        <v>39</v>
      </c>
      <c r="G15" s="3" t="s">
        <v>50</v>
      </c>
      <c r="H15" s="1">
        <v>340</v>
      </c>
      <c r="I15" s="2">
        <v>250</v>
      </c>
      <c r="J15" s="2">
        <v>85000</v>
      </c>
      <c r="K15" s="5" t="s">
        <v>46</v>
      </c>
      <c r="L15" s="1">
        <v>83200444</v>
      </c>
    </row>
    <row r="16" spans="1:12" x14ac:dyDescent="0.25">
      <c r="A16" s="4">
        <v>46160</v>
      </c>
      <c r="B16">
        <v>5</v>
      </c>
      <c r="C16" s="4" t="s">
        <v>43</v>
      </c>
      <c r="D16">
        <v>18</v>
      </c>
      <c r="E16">
        <v>2026</v>
      </c>
      <c r="F16" s="3" t="s">
        <v>41</v>
      </c>
      <c r="G16" s="3" t="s">
        <v>52</v>
      </c>
      <c r="H16" s="1">
        <v>1</v>
      </c>
      <c r="I16" s="2">
        <v>89700</v>
      </c>
      <c r="J16" s="2">
        <v>89700</v>
      </c>
      <c r="K16" s="3" t="s">
        <v>42</v>
      </c>
      <c r="L16" s="1">
        <v>120644355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970FF0-6B69-4C09-B5E2-9FFFF9DE6979}">
          <x14:formula1>
            <xm:f>Listados!$B$2:$B$4</xm:f>
          </x14:formula1>
          <xm:sqref>G2:G16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BFFD-F51E-4DEA-9D6D-192016AE21FF}">
  <dimension ref="B2:B4"/>
  <sheetViews>
    <sheetView workbookViewId="0">
      <selection activeCell="B2" sqref="B2:B4"/>
    </sheetView>
  </sheetViews>
  <sheetFormatPr defaultRowHeight="15" x14ac:dyDescent="0.25"/>
  <sheetData>
    <row r="2" spans="2:2" x14ac:dyDescent="0.25">
      <c r="B2" t="s">
        <v>50</v>
      </c>
    </row>
    <row r="3" spans="2:2" x14ac:dyDescent="0.25">
      <c r="B3" t="s">
        <v>51</v>
      </c>
    </row>
    <row r="4" spans="2:2" x14ac:dyDescent="0.25">
      <c r="B4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808192-B8E7-4942-8EAF-71ED3D4AD5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Enero</vt:lpstr>
      <vt:lpstr>Febrero</vt:lpstr>
      <vt:lpstr>Marzo</vt:lpstr>
      <vt:lpstr>Abril</vt:lpstr>
      <vt:lpstr>Mayo</vt:lpstr>
      <vt:lpstr>Summary 2026</vt:lpstr>
      <vt:lpstr>Listados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Desiree Vega</dc:creator>
  <cp:lastModifiedBy>Desiree Vega</cp:lastModifiedBy>
  <dcterms:created xsi:type="dcterms:W3CDTF">2026-06-30T14:52:06Z</dcterms:created>
  <dcterms:modified xsi:type="dcterms:W3CDTF">2026-06-30T16:47:27Z</dcterms:modified>
</cp:coreProperties>
</file>